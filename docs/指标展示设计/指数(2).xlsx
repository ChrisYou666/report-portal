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lg\OneDrive - PT Antang Sawit Perkasa\桌面\"/>
    </mc:Choice>
  </mc:AlternateContent>
  <bookViews>
    <workbookView xWindow="0" yWindow="0" windowWidth="28740" windowHeight="8055" activeTab="1"/>
  </bookViews>
  <sheets>
    <sheet name="Sheet2" sheetId="2" r:id="rId1"/>
    <sheet name="Sheet3" sheetId="3" r:id="rId2"/>
    <sheet name="Sheet1" sheetId="4" r:id="rId3"/>
    <sheet name="Sheet2 (2)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F2" i="4"/>
  <c r="G2" i="4"/>
  <c r="H2" i="4"/>
  <c r="I2" i="4" s="1"/>
  <c r="J2" i="4" s="1"/>
  <c r="D2" i="4"/>
  <c r="C2" i="4"/>
</calcChain>
</file>

<file path=xl/sharedStrings.xml><?xml version="1.0" encoding="utf-8"?>
<sst xmlns="http://schemas.openxmlformats.org/spreadsheetml/2006/main" count="77" uniqueCount="31">
  <si>
    <t>指数</t>
    <phoneticPr fontId="1" type="noConversion"/>
  </si>
  <si>
    <t>农业</t>
    <phoneticPr fontId="1" type="noConversion"/>
  </si>
  <si>
    <t>期货</t>
    <phoneticPr fontId="1" type="noConversion"/>
  </si>
  <si>
    <t>工业</t>
    <phoneticPr fontId="1" type="noConversion"/>
  </si>
  <si>
    <t>牧业</t>
    <phoneticPr fontId="1" type="noConversion"/>
  </si>
  <si>
    <t>商业</t>
    <phoneticPr fontId="1" type="noConversion"/>
  </si>
  <si>
    <t>物流</t>
    <phoneticPr fontId="1" type="noConversion"/>
  </si>
  <si>
    <t>分配</t>
    <phoneticPr fontId="1" type="noConversion"/>
  </si>
  <si>
    <t>罗素骨干</t>
    <phoneticPr fontId="1" type="noConversion"/>
  </si>
  <si>
    <t>芝加哥人力</t>
    <phoneticPr fontId="1" type="noConversion"/>
  </si>
  <si>
    <t>环境生态</t>
    <phoneticPr fontId="1" type="noConversion"/>
  </si>
  <si>
    <t>资产扩张</t>
    <phoneticPr fontId="1" type="noConversion"/>
  </si>
  <si>
    <t>单数园子</t>
    <phoneticPr fontId="1" type="noConversion"/>
  </si>
  <si>
    <t>分红</t>
    <phoneticPr fontId="1" type="noConversion"/>
  </si>
  <si>
    <t>基准月2025年9月</t>
    <phoneticPr fontId="1" type="noConversion"/>
  </si>
  <si>
    <t>综合92指数分值</t>
    <phoneticPr fontId="1" type="noConversion"/>
  </si>
  <si>
    <t>year</t>
  </si>
  <si>
    <t>mon</t>
  </si>
  <si>
    <t>qty</t>
  </si>
  <si>
    <t>农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</si>
  <si>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</si>
  <si>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</si>
  <si>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</si>
  <si>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期货</t>
    <phoneticPr fontId="1" type="noConversion"/>
  </si>
  <si>
    <t>单数园子</t>
  </si>
  <si>
    <t>农=A/80000*0.6+B/0.5*0.2+C/150000*0.2</t>
    <phoneticPr fontId="1" type="noConversion"/>
  </si>
  <si>
    <t>期货= A+1000</t>
    <phoneticPr fontId="1" type="noConversion"/>
  </si>
  <si>
    <t>工业=A/0.22*0.5 + B/0.015*0.2+ C/110*0.3</t>
    <phoneticPr fontId="1" type="noConversion"/>
  </si>
  <si>
    <t>芝加哥= A+B-C</t>
    <phoneticPr fontId="1" type="noConversion"/>
  </si>
  <si>
    <t>环境=A</t>
    <phoneticPr fontId="1" type="noConversion"/>
  </si>
  <si>
    <t>单数园子 =A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</si>
</sst>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76" formatCode="0.00_ "/>
    <numFmt numFmtId="177" formatCode="0_);[Red]\(0\)"/>
    <numFmt numFmtId="178" formatCode="_(* #,##0_);_(* \(#,##0\);_(* &quot;-&quot;??_);_(@_)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57" fontId="0" fillId="0" borderId="0" xfId="0" applyNumberFormat="1">
      <alignment vertical="center"/>
    </xf>
    <xf numFmtId="2" fontId="0" fillId="0" borderId="0" xfId="0" applyNumberFormat="1">
      <alignment vertical="center"/>
    </xf>
    <xf numFmtId="57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2" borderId="0" xfId="0" applyFont="1" applyFill="1">
      <alignment vertical="center"/>
    </xf>
    <xf numFmtId="2" fontId="3" fillId="2" borderId="0" xfId="0" applyNumberFormat="1" applyFont="1" applyFill="1">
      <alignment vertical="center"/>
    </xf>
    <xf numFmtId="0" fontId="0" fillId="2" borderId="0" xfId="0" applyFill="1">
      <alignment vertical="center"/>
    </xf>
    <xf numFmtId="2" fontId="0" fillId="2" borderId="0" xfId="0" applyNumberFormat="1" applyFill="1">
      <alignment vertical="center"/>
    </xf>
    <xf numFmtId="177" fontId="4" fillId="0" borderId="1" xfId="0" applyNumberFormat="1" applyFont="1" applyBorder="1" applyAlignment="1">
      <alignment horizontal="center" vertical="center" wrapText="1"/>
    </xf>
    <xf numFmtId="178" fontId="0" fillId="0" borderId="2" xfId="1" applyNumberFormat="1" applyFont="1" applyBorder="1" applyAlignment="1">
      <alignment horizontal="center" vertical="center"/>
    </xf>
    <xf numFmtId="0" fontId="0" fillId="0" borderId="0" xfId="0" applyNumberFormat="1">
      <alignment vertical="center"/>
    </xf>
    <xf numFmtId="178" fontId="0" fillId="0" borderId="0" xfId="1" applyNumberFormat="1" applyFont="1" applyAlignment="1">
      <alignment vertical="center" wrapText="1"/>
    </xf>
    <xf numFmtId="178" fontId="0" fillId="0" borderId="0" xfId="1" applyNumberFormat="1" applyFont="1">
      <alignment vertical="center"/>
    </xf>
    <xf numFmtId="10" fontId="0" fillId="0" borderId="0" xfId="2" applyNumberFormat="1" applyFont="1">
      <alignment vertical="center"/>
    </xf>
    <xf numFmtId="10" fontId="0" fillId="0" borderId="0" xfId="0" applyNumberForma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Sheet2!$A$4</c:f>
              <c:strCache>
                <c:ptCount val="1"/>
                <c:pt idx="0">
                  <c:v>工业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Sheet2!$B$4:$I$4</c:f>
              <c:numCache>
                <c:formatCode>0.00</c:formatCode>
                <c:ptCount val="8"/>
                <c:pt idx="0">
                  <c:v>89.807609859138154</c:v>
                </c:pt>
                <c:pt idx="1">
                  <c:v>91.938729323608285</c:v>
                </c:pt>
                <c:pt idx="2">
                  <c:v>89.260662112248426</c:v>
                </c:pt>
                <c:pt idx="3">
                  <c:v>88.346307179473641</c:v>
                </c:pt>
                <c:pt idx="4">
                  <c:v>89.415640425635715</c:v>
                </c:pt>
                <c:pt idx="5">
                  <c:v>90.335312910941198</c:v>
                </c:pt>
                <c:pt idx="6">
                  <c:v>86.407296403896609</c:v>
                </c:pt>
                <c:pt idx="7">
                  <c:v>88.541166031316592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3664416"/>
        <c:axId val="-1063661152"/>
      </c:lineChart>
      <c:catAx>
        <c:axId val="-106366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3661152"/>
        <c:crosses val="autoZero"/>
        <c:auto val="1"/>
        <c:lblAlgn val="ctr"/>
        <c:lblOffset val="100"/>
        <c:noMultiLvlLbl val="0"/>
      </c:catAx>
      <c:valAx>
        <c:axId val="-106366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366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Sheet2!$A$11</c:f>
              <c:strCache>
                <c:ptCount val="1"/>
                <c:pt idx="0">
                  <c:v>环境生态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Sheet2!$B$11:$I$11</c:f>
              <c:numCache>
                <c:formatCode>General</c:formatCode>
                <c:ptCount val="8"/>
                <c:pt idx="0">
                  <c:v>58</c:v>
                </c:pt>
                <c:pt idx="1">
                  <c:v>58.8</c:v>
                </c:pt>
                <c:pt idx="2">
                  <c:v>58.4</c:v>
                </c:pt>
                <c:pt idx="3">
                  <c:v>58.1</c:v>
                </c:pt>
                <c:pt idx="4">
                  <c:v>58.6</c:v>
                </c:pt>
                <c:pt idx="5">
                  <c:v>59.2</c:v>
                </c:pt>
                <c:pt idx="6">
                  <c:v>60.1</c:v>
                </c:pt>
                <c:pt idx="7">
                  <c:v>60.9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4878832"/>
        <c:axId val="-1064876656"/>
      </c:lineChart>
      <c:catAx>
        <c:axId val="-106487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4876656"/>
        <c:crosses val="autoZero"/>
        <c:auto val="1"/>
        <c:lblAlgn val="ctr"/>
        <c:lblOffset val="100"/>
        <c:noMultiLvlLbl val="0"/>
      </c:catAx>
      <c:valAx>
        <c:axId val="-106487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487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农业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Sheet2!$B$2:$I$2</c:f>
              <c:numCache>
                <c:formatCode>0.00</c:formatCode>
                <c:ptCount val="8"/>
                <c:pt idx="0">
                  <c:v>110</c:v>
                </c:pt>
                <c:pt idx="1">
                  <c:v>113.39757814098938</c:v>
                </c:pt>
                <c:pt idx="2">
                  <c:v>102.06864826122296</c:v>
                </c:pt>
                <c:pt idx="3">
                  <c:v>94.469297449587884</c:v>
                </c:pt>
                <c:pt idx="4">
                  <c:v>98.367450764365387</c:v>
                </c:pt>
                <c:pt idx="5">
                  <c:v>89.900986558597594</c:v>
                </c:pt>
                <c:pt idx="6">
                  <c:v>99.369636559037232</c:v>
                </c:pt>
                <c:pt idx="7">
                  <c:v>114.3615498422843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6284288"/>
        <c:axId val="-1060619680"/>
      </c:lineChart>
      <c:catAx>
        <c:axId val="-10662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9680"/>
        <c:crosses val="autoZero"/>
        <c:auto val="1"/>
        <c:lblAlgn val="ctr"/>
        <c:lblOffset val="100"/>
        <c:noMultiLvlLbl val="0"/>
      </c:catAx>
      <c:valAx>
        <c:axId val="-106061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628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Sheet2!$A$3</c:f>
              <c:strCache>
                <c:ptCount val="1"/>
                <c:pt idx="0">
                  <c:v>期货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Sheet2!$B$3:$I$3</c:f>
              <c:numCache>
                <c:formatCode>0.00</c:formatCode>
                <c:ptCount val="8"/>
                <c:pt idx="0">
                  <c:v>1001.860997</c:v>
                </c:pt>
                <c:pt idx="1">
                  <c:v>1009.326486</c:v>
                </c:pt>
                <c:pt idx="2">
                  <c:v>1007.589816</c:v>
                </c:pt>
                <c:pt idx="3">
                  <c:v>1008.846897</c:v>
                </c:pt>
                <c:pt idx="4">
                  <c:v>1012.224621</c:v>
                </c:pt>
                <c:pt idx="5">
                  <c:v>1013.417731</c:v>
                </c:pt>
                <c:pt idx="6">
                  <c:v>1011.554394</c:v>
                </c:pt>
                <c:pt idx="7">
                  <c:v>1023.150271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10976"/>
        <c:axId val="-1060615328"/>
      </c:lineChart>
      <c:catAx>
        <c:axId val="-106061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5328"/>
        <c:crosses val="autoZero"/>
        <c:auto val="1"/>
        <c:lblAlgn val="ctr"/>
        <c:lblOffset val="100"/>
        <c:noMultiLvlLbl val="0"/>
      </c:catAx>
      <c:valAx>
        <c:axId val="-10606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Sheet2!$A$13</c:f>
              <c:strCache>
                <c:ptCount val="1"/>
                <c:pt idx="0">
                  <c:v>单数园子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Sheet2!$B$13:$I$13</c:f>
              <c:numCache>
                <c:formatCode>0.00</c:formatCode>
                <c:ptCount val="8"/>
                <c:pt idx="0">
                  <c:v>70</c:v>
                </c:pt>
                <c:pt idx="1">
                  <c:v>69.86538069714355</c:v>
                </c:pt>
                <c:pt idx="2">
                  <c:v>69.683729186858031</c:v>
                </c:pt>
                <c:pt idx="3">
                  <c:v>68.124545270157569</c:v>
                </c:pt>
                <c:pt idx="4">
                  <c:v>71.041392534547114</c:v>
                </c:pt>
                <c:pt idx="5">
                  <c:v>68.761981497188245</c:v>
                </c:pt>
                <c:pt idx="6">
                  <c:v>63.822848850457689</c:v>
                </c:pt>
                <c:pt idx="7">
                  <c:v>72.058326998790619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18048"/>
        <c:axId val="-1060615872"/>
      </c:lineChart>
      <c:catAx>
        <c:axId val="-106061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5872"/>
        <c:crosses val="autoZero"/>
        <c:auto val="1"/>
        <c:lblAlgn val="ctr"/>
        <c:lblOffset val="100"/>
        <c:noMultiLvlLbl val="0"/>
      </c:catAx>
      <c:valAx>
        <c:axId val="-106061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Sheet2!$A$14</c:f>
              <c:strCache>
                <c:ptCount val="1"/>
                <c:pt idx="0">
                  <c:v>分红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Sheet2!$B$1:$H$1</c:f>
              <c:strCache>
                <c:ptCount val="7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</c:strCache>
            </c:strRef>
          </c:cat>
          <c:val>
            <c:numRef>
              <c:f>Sheet2!$B$14:$H$14</c:f>
              <c:numCache>
                <c:formatCode>General</c:formatCode>
                <c:ptCount val="7"/>
                <c:pt idx="0">
                  <c:v>61.5</c:v>
                </c:pt>
                <c:pt idx="1">
                  <c:v>69.099999999999994</c:v>
                </c:pt>
                <c:pt idx="2">
                  <c:v>66</c:v>
                </c:pt>
                <c:pt idx="3">
                  <c:v>74.5</c:v>
                </c:pt>
                <c:pt idx="4">
                  <c:v>62</c:v>
                </c:pt>
                <c:pt idx="5">
                  <c:v>63.3</c:v>
                </c:pt>
                <c:pt idx="6">
                  <c:v>59.3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09344"/>
        <c:axId val="-1060616416"/>
      </c:lineChart>
      <c:catAx>
        <c:axId val="-10606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6416"/>
        <c:crosses val="autoZero"/>
        <c:auto val="1"/>
        <c:lblAlgn val="ctr"/>
        <c:lblOffset val="100"/>
        <c:noMultiLvlLbl val="0"/>
      </c:catAx>
      <c:valAx>
        <c:axId val="-106061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0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Sheet2!$A$5</c:f>
              <c:strCache>
                <c:ptCount val="1"/>
                <c:pt idx="0">
                  <c:v>牧业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Sheet2!$B$5:$I$5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29</c:v>
                </c:pt>
                <c:pt idx="3">
                  <c:v>15</c:v>
                </c:pt>
                <c:pt idx="4">
                  <c:v>40</c:v>
                </c:pt>
                <c:pt idx="5">
                  <c:v>68</c:v>
                </c:pt>
                <c:pt idx="6">
                  <c:v>21</c:v>
                </c:pt>
                <c:pt idx="7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22944"/>
        <c:axId val="-1060620224"/>
      </c:lineChart>
      <c:catAx>
        <c:axId val="-10606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0224"/>
        <c:crosses val="autoZero"/>
        <c:auto val="1"/>
        <c:lblAlgn val="ctr"/>
        <c:lblOffset val="100"/>
        <c:noMultiLvlLbl val="0"/>
      </c:catAx>
      <c:valAx>
        <c:axId val="-10606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Sheet2!$A$6</c:f>
              <c:strCache>
                <c:ptCount val="1"/>
                <c:pt idx="0">
                  <c:v>商业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Sheet2!$B$6:$I$6</c:f>
              <c:numCache>
                <c:formatCode>0.00</c:formatCode>
                <c:ptCount val="8"/>
                <c:pt idx="0">
                  <c:v>1186.1282302836983</c:v>
                </c:pt>
                <c:pt idx="1">
                  <c:v>1281.4989346868683</c:v>
                </c:pt>
                <c:pt idx="2">
                  <c:v>1278.9760726996594</c:v>
                </c:pt>
                <c:pt idx="3">
                  <c:v>1233.7378174603109</c:v>
                </c:pt>
                <c:pt idx="4">
                  <c:v>1215.2401433218211</c:v>
                </c:pt>
                <c:pt idx="5">
                  <c:v>1317.9317645691829</c:v>
                </c:pt>
                <c:pt idx="6">
                  <c:v>1244.989683933682</c:v>
                </c:pt>
                <c:pt idx="7">
                  <c:v>1160.0569454080373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20768"/>
        <c:axId val="-1060611520"/>
      </c:lineChart>
      <c:catAx>
        <c:axId val="-106062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1520"/>
        <c:crosses val="autoZero"/>
        <c:auto val="1"/>
        <c:lblAlgn val="ctr"/>
        <c:lblOffset val="100"/>
        <c:noMultiLvlLbl val="0"/>
      </c:catAx>
      <c:valAx>
        <c:axId val="-106061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Sheet2!$A$10</c:f>
              <c:strCache>
                <c:ptCount val="1"/>
                <c:pt idx="0">
                  <c:v>芝加哥人力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Sheet2!$B$10:$I$10</c:f>
              <c:numCache>
                <c:formatCode>General</c:formatCode>
                <c:ptCount val="8"/>
                <c:pt idx="0">
                  <c:v>3</c:v>
                </c:pt>
                <c:pt idx="1">
                  <c:v>3.5</c:v>
                </c:pt>
                <c:pt idx="2">
                  <c:v>4.5</c:v>
                </c:pt>
                <c:pt idx="3">
                  <c:v>7</c:v>
                </c:pt>
                <c:pt idx="4">
                  <c:v>4.5</c:v>
                </c:pt>
                <c:pt idx="5">
                  <c:v>2</c:v>
                </c:pt>
                <c:pt idx="6">
                  <c:v>7.5</c:v>
                </c:pt>
                <c:pt idx="7">
                  <c:v>10.5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19136"/>
        <c:axId val="-1060614784"/>
      </c:lineChart>
      <c:catAx>
        <c:axId val="-106061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4784"/>
        <c:crosses val="autoZero"/>
        <c:auto val="1"/>
        <c:lblAlgn val="ctr"/>
        <c:lblOffset val="100"/>
        <c:noMultiLvlLbl val="0"/>
      </c:catAx>
      <c:valAx>
        <c:axId val="-10606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(2)'!$A$4</c:f>
              <c:strCache>
                <c:ptCount val="1"/>
                <c:pt idx="0">
                  <c:v>工业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(2)'!$B$4:$I$4</c:f>
              <c:numCache>
                <c:formatCode>0.00</c:formatCode>
                <c:ptCount val="8"/>
                <c:pt idx="0">
                  <c:v>89.807609859138154</c:v>
                </c:pt>
                <c:pt idx="1">
                  <c:v>91.938729323608285</c:v>
                </c:pt>
                <c:pt idx="2">
                  <c:v>89.260662112248426</c:v>
                </c:pt>
                <c:pt idx="3">
                  <c:v>88.346307179473641</c:v>
                </c:pt>
                <c:pt idx="4">
                  <c:v>89.415640425635715</c:v>
                </c:pt>
                <c:pt idx="5">
                  <c:v>90.335312910941198</c:v>
                </c:pt>
                <c:pt idx="6">
                  <c:v>86.407296403896609</c:v>
                </c:pt>
                <c:pt idx="7">
                  <c:v>88.541166031316592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14240"/>
        <c:axId val="-1060608800"/>
      </c:lineChart>
      <c:catAx>
        <c:axId val="-106061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08800"/>
        <c:crosses val="autoZero"/>
        <c:auto val="1"/>
        <c:lblAlgn val="ctr"/>
        <c:lblOffset val="100"/>
        <c:noMultiLvlLbl val="0"/>
      </c:catAx>
      <c:valAx>
        <c:axId val="-1060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(2)'!$A$11</c:f>
              <c:strCache>
                <c:ptCount val="1"/>
                <c:pt idx="0">
                  <c:v>环境生态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(2)'!$B$11:$I$11</c:f>
              <c:numCache>
                <c:formatCode>General</c:formatCode>
                <c:ptCount val="8"/>
                <c:pt idx="0">
                  <c:v>58</c:v>
                </c:pt>
                <c:pt idx="1">
                  <c:v>58.8</c:v>
                </c:pt>
                <c:pt idx="2">
                  <c:v>58.4</c:v>
                </c:pt>
                <c:pt idx="3">
                  <c:v>58.1</c:v>
                </c:pt>
                <c:pt idx="4">
                  <c:v>58.6</c:v>
                </c:pt>
                <c:pt idx="5">
                  <c:v>59.2</c:v>
                </c:pt>
                <c:pt idx="6">
                  <c:v>60.1</c:v>
                </c:pt>
                <c:pt idx="7">
                  <c:v>60.9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18592"/>
        <c:axId val="-1060622400"/>
      </c:lineChart>
      <c:catAx>
        <c:axId val="-106061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2400"/>
        <c:crosses val="autoZero"/>
        <c:auto val="1"/>
        <c:lblAlgn val="ctr"/>
        <c:lblOffset val="100"/>
        <c:noMultiLvlLbl val="0"/>
      </c:catAx>
      <c:valAx>
        <c:axId val="-10606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(2)'!$A$2</c:f>
              <c:strCache>
                <c:ptCount val="1"/>
                <c:pt idx="0">
                  <c:v>农业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(2)'!$B$2:$I$2</c:f>
              <c:numCache>
                <c:formatCode>0.00</c:formatCode>
                <c:ptCount val="8"/>
                <c:pt idx="0">
                  <c:v>110</c:v>
                </c:pt>
                <c:pt idx="1">
                  <c:v>113.39757814098938</c:v>
                </c:pt>
                <c:pt idx="2">
                  <c:v>102.06864826122296</c:v>
                </c:pt>
                <c:pt idx="3">
                  <c:v>94.469297449587884</c:v>
                </c:pt>
                <c:pt idx="4">
                  <c:v>98.367450764365387</c:v>
                </c:pt>
                <c:pt idx="5">
                  <c:v>89.900986558597594</c:v>
                </c:pt>
                <c:pt idx="6">
                  <c:v>99.369636559037232</c:v>
                </c:pt>
                <c:pt idx="7">
                  <c:v>114.3615498422843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17504"/>
        <c:axId val="-1060613696"/>
      </c:lineChart>
      <c:catAx>
        <c:axId val="-106061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3696"/>
        <c:crosses val="autoZero"/>
        <c:auto val="1"/>
        <c:lblAlgn val="ctr"/>
        <c:lblOffset val="100"/>
        <c:noMultiLvlLbl val="0"/>
      </c:catAx>
      <c:valAx>
        <c:axId val="-10606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(2)'!$A$3</c:f>
              <c:strCache>
                <c:ptCount val="1"/>
                <c:pt idx="0">
                  <c:v>期货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(2)'!$B$3:$I$3</c:f>
              <c:numCache>
                <c:formatCode>0.00</c:formatCode>
                <c:ptCount val="8"/>
                <c:pt idx="0">
                  <c:v>1001.860997</c:v>
                </c:pt>
                <c:pt idx="1">
                  <c:v>1009.326486</c:v>
                </c:pt>
                <c:pt idx="2">
                  <c:v>1007.589816</c:v>
                </c:pt>
                <c:pt idx="3">
                  <c:v>1008.846897</c:v>
                </c:pt>
                <c:pt idx="4">
                  <c:v>1012.224621</c:v>
                </c:pt>
                <c:pt idx="5">
                  <c:v>1013.417731</c:v>
                </c:pt>
                <c:pt idx="6">
                  <c:v>1011.554394</c:v>
                </c:pt>
                <c:pt idx="7">
                  <c:v>1023.150271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16960"/>
        <c:axId val="-1060612608"/>
      </c:lineChart>
      <c:catAx>
        <c:axId val="-106061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2608"/>
        <c:crosses val="autoZero"/>
        <c:auto val="1"/>
        <c:lblAlgn val="ctr"/>
        <c:lblOffset val="100"/>
        <c:noMultiLvlLbl val="0"/>
      </c:catAx>
      <c:valAx>
        <c:axId val="-106061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(2)'!$A$13</c:f>
              <c:strCache>
                <c:ptCount val="1"/>
                <c:pt idx="0">
                  <c:v>单数园子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(2)'!$B$13:$I$13</c:f>
              <c:numCache>
                <c:formatCode>0.00</c:formatCode>
                <c:ptCount val="8"/>
                <c:pt idx="0">
                  <c:v>70</c:v>
                </c:pt>
                <c:pt idx="1">
                  <c:v>69.86538069714355</c:v>
                </c:pt>
                <c:pt idx="2">
                  <c:v>69.683729186858031</c:v>
                </c:pt>
                <c:pt idx="3">
                  <c:v>68.124545270157569</c:v>
                </c:pt>
                <c:pt idx="4">
                  <c:v>71.041392534547114</c:v>
                </c:pt>
                <c:pt idx="5">
                  <c:v>68.761981497188245</c:v>
                </c:pt>
                <c:pt idx="6">
                  <c:v>63.822848850457689</c:v>
                </c:pt>
                <c:pt idx="7">
                  <c:v>72.058326998790619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21312"/>
        <c:axId val="-1060613152"/>
      </c:lineChart>
      <c:catAx>
        <c:axId val="-10606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3152"/>
        <c:crosses val="autoZero"/>
        <c:auto val="1"/>
        <c:lblAlgn val="ctr"/>
        <c:lblOffset val="100"/>
        <c:noMultiLvlLbl val="0"/>
      </c:catAx>
      <c:valAx>
        <c:axId val="-106061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(2)'!$A$14</c:f>
              <c:strCache>
                <c:ptCount val="1"/>
                <c:pt idx="0">
                  <c:v>分红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(2)'!$B$1:$H$1</c:f>
              <c:strCache>
                <c:ptCount val="7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</c:strCache>
            </c:strRef>
          </c:cat>
          <c:val>
            <c:numRef>
              <c:f>'Sheet2 (2)'!$B$14:$H$14</c:f>
              <c:numCache>
                <c:formatCode>General</c:formatCode>
                <c:ptCount val="7"/>
                <c:pt idx="0">
                  <c:v>61.5</c:v>
                </c:pt>
                <c:pt idx="1">
                  <c:v>69.099999999999994</c:v>
                </c:pt>
                <c:pt idx="2">
                  <c:v>66</c:v>
                </c:pt>
                <c:pt idx="3">
                  <c:v>74.5</c:v>
                </c:pt>
                <c:pt idx="4">
                  <c:v>62</c:v>
                </c:pt>
                <c:pt idx="5">
                  <c:v>63.3</c:v>
                </c:pt>
                <c:pt idx="6">
                  <c:v>59.3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24032"/>
        <c:axId val="-1060612064"/>
      </c:lineChart>
      <c:catAx>
        <c:axId val="-106062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2064"/>
        <c:crosses val="autoZero"/>
        <c:auto val="1"/>
        <c:lblAlgn val="ctr"/>
        <c:lblOffset val="100"/>
        <c:noMultiLvlLbl val="0"/>
      </c:catAx>
      <c:valAx>
        <c:axId val="-10606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(2)'!$A$5</c:f>
              <c:strCache>
                <c:ptCount val="1"/>
                <c:pt idx="0">
                  <c:v>牧业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(2)'!$B$5:$I$5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29</c:v>
                </c:pt>
                <c:pt idx="3">
                  <c:v>15</c:v>
                </c:pt>
                <c:pt idx="4">
                  <c:v>40</c:v>
                </c:pt>
                <c:pt idx="5">
                  <c:v>68</c:v>
                </c:pt>
                <c:pt idx="6">
                  <c:v>21</c:v>
                </c:pt>
                <c:pt idx="7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21856"/>
        <c:axId val="-1060610432"/>
      </c:lineChart>
      <c:catAx>
        <c:axId val="-106062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10432"/>
        <c:crosses val="autoZero"/>
        <c:auto val="1"/>
        <c:lblAlgn val="ctr"/>
        <c:lblOffset val="100"/>
        <c:noMultiLvlLbl val="0"/>
      </c:catAx>
      <c:valAx>
        <c:axId val="-10606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(2)'!$A$6</c:f>
              <c:strCache>
                <c:ptCount val="1"/>
                <c:pt idx="0">
                  <c:v>商业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(2)'!$B$6:$I$6</c:f>
              <c:numCache>
                <c:formatCode>0.00</c:formatCode>
                <c:ptCount val="8"/>
                <c:pt idx="0">
                  <c:v>1186.1282302836983</c:v>
                </c:pt>
                <c:pt idx="1">
                  <c:v>1281.4989346868683</c:v>
                </c:pt>
                <c:pt idx="2">
                  <c:v>1278.9760726996594</c:v>
                </c:pt>
                <c:pt idx="3">
                  <c:v>1233.7378174603109</c:v>
                </c:pt>
                <c:pt idx="4">
                  <c:v>1215.2401433218211</c:v>
                </c:pt>
                <c:pt idx="5">
                  <c:v>1317.9317645691829</c:v>
                </c:pt>
                <c:pt idx="6">
                  <c:v>1244.989683933682</c:v>
                </c:pt>
                <c:pt idx="7">
                  <c:v>1160.0569454080373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60609888"/>
        <c:axId val="-1060623488"/>
      </c:lineChart>
      <c:catAx>
        <c:axId val="-106060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23488"/>
        <c:crosses val="autoZero"/>
        <c:auto val="1"/>
        <c:lblAlgn val="ctr"/>
        <c:lblOffset val="100"/>
        <c:noMultiLvlLbl val="0"/>
      </c:catAx>
      <c:valAx>
        <c:axId val="-106062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6060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'Sheet2 (2)'!$A$10</c:f>
              <c:strCache>
                <c:ptCount val="1"/>
                <c:pt idx="0">
                  <c:v>芝加哥人力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'Sheet2 (2)'!$B$1:$I$1</c:f>
              <c:strCache>
                <c:ptCount val="8"/>
                <c:pt idx="0">
                  <c:v>基准月2025年9月</c:v>
                </c:pt>
                <c:pt idx="1">
                  <c:v>2025年10月</c:v>
                </c:pt>
                <c:pt idx="2">
                  <c:v>2025年11月</c:v>
                </c:pt>
                <c:pt idx="3">
                  <c:v>2025年12月</c:v>
                </c:pt>
                <c:pt idx="4">
                  <c:v>2026年01月</c:v>
                </c:pt>
                <c:pt idx="5">
                  <c:v>2026年02月</c:v>
                </c:pt>
                <c:pt idx="6">
                  <c:v>2026年03月</c:v>
                </c:pt>
                <c:pt idx="7">
                  <c:v>2026年04月</c:v>
                </c:pt>
              </c:strCache>
            </c:strRef>
          </c:cat>
          <c:val>
            <c:numRef>
              <c:f>'Sheet2 (2)'!$B$10:$I$10</c:f>
              <c:numCache>
                <c:formatCode>General</c:formatCode>
                <c:ptCount val="8"/>
                <c:pt idx="0">
                  <c:v>3</c:v>
                </c:pt>
                <c:pt idx="1">
                  <c:v>3.5</c:v>
                </c:pt>
                <c:pt idx="2">
                  <c:v>4.5</c:v>
                </c:pt>
                <c:pt idx="3">
                  <c:v>7</c:v>
                </c:pt>
                <c:pt idx="4">
                  <c:v>4.5</c:v>
                </c:pt>
                <c:pt idx="5">
                  <c:v>2</c:v>
                </c:pt>
                <c:pt idx="6">
                  <c:v>7.5</c:v>
                </c:pt>
                <c:pt idx="7">
                  <c:v>10.5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59882784"/>
        <c:axId val="-1059878432"/>
      </c:lineChart>
      <c:catAx>
        <c:axId val="-105988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59878432"/>
        <c:crosses val="autoZero"/>
        <c:auto val="1"/>
        <c:lblAlgn val="ctr"/>
        <c:lblOffset val="100"/>
        <c:noMultiLvlLbl val="0"/>
      </c:catAx>
      <c:valAx>
        <c:axId val="-10598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05988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0</xdr:row>
      <xdr:rowOff>0</xdr:rowOff>
    </xdr:from>
    <xdr:to>
      <xdr:col>25</xdr:col>
      <xdr:colOff>457200</xdr:colOff>
      <xdr:row>14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33</xdr:row>
      <xdr:rowOff>0</xdr:rowOff>
    </xdr:from>
    <xdr:to>
      <xdr:col>18</xdr:col>
      <xdr:colOff>466725</xdr:colOff>
      <xdr:row>48</xdr:row>
      <xdr:rowOff>19049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485775</xdr:colOff>
      <xdr:row>0</xdr:row>
      <xdr:rowOff>23812</xdr:rowOff>
    </xdr:from>
    <xdr:to>
      <xdr:col>18</xdr:col>
      <xdr:colOff>371475</xdr:colOff>
      <xdr:row>15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495299</xdr:colOff>
      <xdr:row>15</xdr:row>
      <xdr:rowOff>100012</xdr:rowOff>
    </xdr:from>
    <xdr:to>
      <xdr:col>18</xdr:col>
      <xdr:colOff>371474</xdr:colOff>
      <xdr:row>33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552450</xdr:colOff>
      <xdr:row>16</xdr:row>
      <xdr:rowOff>4762</xdr:rowOff>
    </xdr:from>
    <xdr:to>
      <xdr:col>25</xdr:col>
      <xdr:colOff>638175</xdr:colOff>
      <xdr:row>31</xdr:row>
      <xdr:rowOff>95249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647700</xdr:colOff>
      <xdr:row>32</xdr:row>
      <xdr:rowOff>147637</xdr:rowOff>
    </xdr:from>
    <xdr:to>
      <xdr:col>25</xdr:col>
      <xdr:colOff>419100</xdr:colOff>
      <xdr:row>48</xdr:row>
      <xdr:rowOff>147637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76200</xdr:colOff>
      <xdr:row>0</xdr:row>
      <xdr:rowOff>0</xdr:rowOff>
    </xdr:from>
    <xdr:to>
      <xdr:col>32</xdr:col>
      <xdr:colOff>552450</xdr:colOff>
      <xdr:row>13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152399</xdr:colOff>
      <xdr:row>16</xdr:row>
      <xdr:rowOff>4762</xdr:rowOff>
    </xdr:from>
    <xdr:to>
      <xdr:col>32</xdr:col>
      <xdr:colOff>638174</xdr:colOff>
      <xdr:row>30</xdr:row>
      <xdr:rowOff>104775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47624</xdr:colOff>
      <xdr:row>32</xdr:row>
      <xdr:rowOff>166687</xdr:rowOff>
    </xdr:from>
    <xdr:to>
      <xdr:col>33</xdr:col>
      <xdr:colOff>38099</xdr:colOff>
      <xdr:row>48</xdr:row>
      <xdr:rowOff>85725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466725</xdr:colOff>
      <xdr:row>0</xdr:row>
      <xdr:rowOff>0</xdr:rowOff>
    </xdr:from>
    <xdr:to>
      <xdr:col>25</xdr:col>
      <xdr:colOff>457200</xdr:colOff>
      <xdr:row>14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504825</xdr:colOff>
      <xdr:row>33</xdr:row>
      <xdr:rowOff>0</xdr:rowOff>
    </xdr:from>
    <xdr:to>
      <xdr:col>18</xdr:col>
      <xdr:colOff>466725</xdr:colOff>
      <xdr:row>48</xdr:row>
      <xdr:rowOff>19049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485775</xdr:colOff>
      <xdr:row>0</xdr:row>
      <xdr:rowOff>23812</xdr:rowOff>
    </xdr:from>
    <xdr:to>
      <xdr:col>18</xdr:col>
      <xdr:colOff>371475</xdr:colOff>
      <xdr:row>15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495299</xdr:colOff>
      <xdr:row>15</xdr:row>
      <xdr:rowOff>100012</xdr:rowOff>
    </xdr:from>
    <xdr:to>
      <xdr:col>18</xdr:col>
      <xdr:colOff>371474</xdr:colOff>
      <xdr:row>33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552450</xdr:colOff>
      <xdr:row>16</xdr:row>
      <xdr:rowOff>4762</xdr:rowOff>
    </xdr:from>
    <xdr:to>
      <xdr:col>25</xdr:col>
      <xdr:colOff>638175</xdr:colOff>
      <xdr:row>31</xdr:row>
      <xdr:rowOff>95249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647700</xdr:colOff>
      <xdr:row>32</xdr:row>
      <xdr:rowOff>147637</xdr:rowOff>
    </xdr:from>
    <xdr:to>
      <xdr:col>25</xdr:col>
      <xdr:colOff>419100</xdr:colOff>
      <xdr:row>48</xdr:row>
      <xdr:rowOff>147637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76200</xdr:colOff>
      <xdr:row>0</xdr:row>
      <xdr:rowOff>0</xdr:rowOff>
    </xdr:from>
    <xdr:to>
      <xdr:col>32</xdr:col>
      <xdr:colOff>552450</xdr:colOff>
      <xdr:row>13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152399</xdr:colOff>
      <xdr:row>16</xdr:row>
      <xdr:rowOff>4762</xdr:rowOff>
    </xdr:from>
    <xdr:to>
      <xdr:col>32</xdr:col>
      <xdr:colOff>638174</xdr:colOff>
      <xdr:row>30</xdr:row>
      <xdr:rowOff>104775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47624</xdr:colOff>
      <xdr:row>32</xdr:row>
      <xdr:rowOff>166687</xdr:rowOff>
    </xdr:from>
    <xdr:to>
      <xdr:col>33</xdr:col>
      <xdr:colOff>38099</xdr:colOff>
      <xdr:row>48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B13" sqref="B13:I13"/>
    </sheetView>
  </sheetViews>
  <sheetFormatPr defaultRowHeight="13.5" x14ac:dyDescent="0.15"/>
  <cols>
    <col min="1" max="1" width="18.875" customWidth="1"/>
    <col min="2" max="2" width="17.25" customWidth="1"/>
    <col min="3" max="9" width="11.625" bestFit="1" customWidth="1"/>
  </cols>
  <sheetData>
    <row r="1" spans="1:9" x14ac:dyDescent="0.15">
      <c r="A1" t="s">
        <v>0</v>
      </c>
      <c r="B1" s="3" t="s">
        <v>14</v>
      </c>
      <c r="C1" s="1">
        <v>45931</v>
      </c>
      <c r="D1" s="1">
        <v>45962</v>
      </c>
      <c r="E1" s="1">
        <v>45992</v>
      </c>
      <c r="F1" s="1">
        <v>46023</v>
      </c>
      <c r="G1" s="1">
        <v>46054</v>
      </c>
      <c r="H1" s="1">
        <v>46082</v>
      </c>
      <c r="I1" s="1">
        <v>46113</v>
      </c>
    </row>
    <row r="2" spans="1:9" x14ac:dyDescent="0.15">
      <c r="A2" s="5" t="s">
        <v>1</v>
      </c>
      <c r="B2" s="6">
        <v>110</v>
      </c>
      <c r="C2" s="6">
        <v>113.39757814098938</v>
      </c>
      <c r="D2" s="6">
        <v>102.06864826122296</v>
      </c>
      <c r="E2" s="6">
        <v>94.469297449587884</v>
      </c>
      <c r="F2" s="6">
        <v>98.367450764365387</v>
      </c>
      <c r="G2" s="6">
        <v>89.900986558597594</v>
      </c>
      <c r="H2" s="6">
        <v>99.369636559037232</v>
      </c>
      <c r="I2" s="6">
        <v>114.3615498422843</v>
      </c>
    </row>
    <row r="3" spans="1:9" x14ac:dyDescent="0.15">
      <c r="A3" t="s">
        <v>2</v>
      </c>
      <c r="B3" s="2">
        <v>1001.860997</v>
      </c>
      <c r="C3" s="2">
        <v>1009.326486</v>
      </c>
      <c r="D3" s="2">
        <v>1007.589816</v>
      </c>
      <c r="E3" s="2">
        <v>1008.846897</v>
      </c>
      <c r="F3" s="2">
        <v>1012.224621</v>
      </c>
      <c r="G3" s="2">
        <v>1013.417731</v>
      </c>
      <c r="H3" s="2">
        <v>1011.554394</v>
      </c>
      <c r="I3" s="2">
        <v>1023.150271</v>
      </c>
    </row>
    <row r="4" spans="1:9" x14ac:dyDescent="0.15">
      <c r="A4" t="s">
        <v>3</v>
      </c>
      <c r="B4" s="2">
        <v>89.807609859138154</v>
      </c>
      <c r="C4" s="2">
        <v>91.938729323608285</v>
      </c>
      <c r="D4" s="2">
        <v>89.260662112248426</v>
      </c>
      <c r="E4" s="2">
        <v>88.346307179473641</v>
      </c>
      <c r="F4" s="2">
        <v>89.415640425635715</v>
      </c>
      <c r="G4" s="2">
        <v>90.335312910941198</v>
      </c>
      <c r="H4" s="2">
        <v>86.407296403896609</v>
      </c>
      <c r="I4" s="2">
        <v>88.541166031316592</v>
      </c>
    </row>
    <row r="5" spans="1:9" x14ac:dyDescent="0.15">
      <c r="A5" t="s">
        <v>4</v>
      </c>
      <c r="B5">
        <v>34</v>
      </c>
      <c r="C5">
        <v>43</v>
      </c>
      <c r="D5">
        <v>29</v>
      </c>
      <c r="E5">
        <v>15</v>
      </c>
      <c r="F5">
        <v>40</v>
      </c>
      <c r="G5">
        <v>68</v>
      </c>
      <c r="H5">
        <v>21</v>
      </c>
      <c r="I5">
        <v>33</v>
      </c>
    </row>
    <row r="6" spans="1:9" x14ac:dyDescent="0.15">
      <c r="A6" t="s">
        <v>5</v>
      </c>
      <c r="B6" s="2">
        <v>1186.1282302836983</v>
      </c>
      <c r="C6" s="2">
        <v>1281.4989346868683</v>
      </c>
      <c r="D6" s="2">
        <v>1278.9760726996594</v>
      </c>
      <c r="E6" s="2">
        <v>1233.7378174603109</v>
      </c>
      <c r="F6" s="2">
        <v>1215.2401433218211</v>
      </c>
      <c r="G6" s="2">
        <v>1317.9317645691829</v>
      </c>
      <c r="H6" s="2">
        <v>1244.989683933682</v>
      </c>
      <c r="I6" s="2">
        <v>1160.0569454080373</v>
      </c>
    </row>
    <row r="7" spans="1:9" x14ac:dyDescent="0.15">
      <c r="A7" t="s">
        <v>6</v>
      </c>
      <c r="B7" s="2"/>
      <c r="C7" s="2"/>
      <c r="D7" s="2"/>
      <c r="E7" s="2"/>
      <c r="F7" s="2"/>
      <c r="G7" s="2"/>
      <c r="H7" s="2"/>
      <c r="I7" s="2"/>
    </row>
    <row r="8" spans="1:9" x14ac:dyDescent="0.15">
      <c r="A8" t="s">
        <v>7</v>
      </c>
    </row>
    <row r="9" spans="1:9" x14ac:dyDescent="0.15">
      <c r="A9" t="s">
        <v>8</v>
      </c>
    </row>
    <row r="10" spans="1:9" x14ac:dyDescent="0.15">
      <c r="A10" t="s">
        <v>9</v>
      </c>
      <c r="B10">
        <v>3</v>
      </c>
      <c r="C10">
        <v>3.5</v>
      </c>
      <c r="D10">
        <v>4.5</v>
      </c>
      <c r="E10">
        <v>7</v>
      </c>
      <c r="F10">
        <v>4.5</v>
      </c>
      <c r="G10">
        <v>2</v>
      </c>
      <c r="H10">
        <v>7.5</v>
      </c>
      <c r="I10">
        <v>10.5</v>
      </c>
    </row>
    <row r="11" spans="1:9" x14ac:dyDescent="0.15">
      <c r="A11" t="s">
        <v>10</v>
      </c>
      <c r="B11">
        <v>58</v>
      </c>
      <c r="C11">
        <v>58.8</v>
      </c>
      <c r="D11">
        <v>58.4</v>
      </c>
      <c r="E11">
        <v>58.1</v>
      </c>
      <c r="F11">
        <v>58.6</v>
      </c>
      <c r="G11">
        <v>59.2</v>
      </c>
      <c r="H11">
        <v>60.1</v>
      </c>
      <c r="I11">
        <v>60.9</v>
      </c>
    </row>
    <row r="12" spans="1:9" x14ac:dyDescent="0.15">
      <c r="A12" t="s">
        <v>11</v>
      </c>
    </row>
    <row r="13" spans="1:9" x14ac:dyDescent="0.15">
      <c r="A13" s="7" t="s">
        <v>12</v>
      </c>
      <c r="B13" s="8">
        <v>70</v>
      </c>
      <c r="C13" s="8">
        <v>69.86538069714355</v>
      </c>
      <c r="D13" s="8">
        <v>69.683729186858031</v>
      </c>
      <c r="E13" s="8">
        <v>68.124545270157569</v>
      </c>
      <c r="F13" s="8">
        <v>71.041392534547114</v>
      </c>
      <c r="G13" s="8">
        <v>68.761981497188245</v>
      </c>
      <c r="H13" s="8">
        <v>63.822848850457689</v>
      </c>
      <c r="I13" s="8">
        <v>72.058326998790619</v>
      </c>
    </row>
    <row r="14" spans="1:9" x14ac:dyDescent="0.15">
      <c r="A14" t="s">
        <v>13</v>
      </c>
      <c r="B14">
        <v>61.5</v>
      </c>
      <c r="C14">
        <v>69.099999999999994</v>
      </c>
      <c r="D14">
        <v>66</v>
      </c>
      <c r="E14">
        <v>74.5</v>
      </c>
      <c r="F14">
        <v>62</v>
      </c>
      <c r="G14">
        <v>63.3</v>
      </c>
      <c r="H14">
        <v>59.3</v>
      </c>
    </row>
    <row r="16" spans="1:9" x14ac:dyDescent="0.15">
      <c r="A16" t="s">
        <v>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topLeftCell="A16" workbookViewId="0">
      <selection activeCell="I56" sqref="I56"/>
    </sheetView>
  </sheetViews>
  <sheetFormatPr defaultRowHeight="13.5" x14ac:dyDescent="0.15"/>
  <cols>
    <col min="1" max="1" width="11" bestFit="1" customWidth="1"/>
    <col min="2" max="2" width="11.375" bestFit="1" customWidth="1"/>
    <col min="3" max="7" width="12.75" bestFit="1" customWidth="1"/>
    <col min="8" max="8" width="11.625" bestFit="1" customWidth="1"/>
    <col min="9" max="9" width="12.75" bestFit="1" customWidth="1"/>
  </cols>
  <sheetData>
    <row r="1" spans="1:9" x14ac:dyDescent="0.15">
      <c r="A1" t="s">
        <v>19</v>
      </c>
      <c r="B1" s="1">
        <v>45901</v>
      </c>
      <c r="C1" s="1">
        <v>45931</v>
      </c>
      <c r="D1" s="1">
        <v>45962</v>
      </c>
      <c r="E1" s="1">
        <v>45992</v>
      </c>
      <c r="F1" s="1">
        <v>46023</v>
      </c>
      <c r="G1" s="1">
        <v>46054</v>
      </c>
      <c r="H1" s="1">
        <v>46082</v>
      </c>
      <c r="I1" s="1">
        <v>46113</v>
      </c>
    </row>
    <row r="2" spans="1:9" x14ac:dyDescent="0.15">
      <c r="A2" t="s">
        <v>20</v>
      </c>
    </row>
    <row r="3" spans="1:9" x14ac:dyDescent="0.15">
      <c r="A3" t="s">
        <v>21</v>
      </c>
    </row>
    <row r="4" spans="1:9" x14ac:dyDescent="0.15">
      <c r="A4" t="s">
        <v>22</v>
      </c>
    </row>
    <row r="6" spans="1:9" x14ac:dyDescent="0.15">
      <c r="A6" t="s">
        <v>19</v>
      </c>
      <c r="B6" s="1">
        <v>45901</v>
      </c>
      <c r="C6" s="1">
        <v>45931</v>
      </c>
      <c r="D6" s="1">
        <v>45962</v>
      </c>
      <c r="E6" s="1">
        <v>45992</v>
      </c>
      <c r="F6" s="1">
        <v>46023</v>
      </c>
      <c r="G6" s="1">
        <v>46054</v>
      </c>
      <c r="H6" s="1">
        <v>46082</v>
      </c>
      <c r="I6" s="1">
        <v>46113</v>
      </c>
    </row>
    <row r="7" spans="1:9" x14ac:dyDescent="0.15">
      <c r="A7" t="s">
        <v>20</v>
      </c>
    </row>
    <row r="8" spans="1:9" x14ac:dyDescent="0.15">
      <c r="A8" t="s">
        <v>21</v>
      </c>
    </row>
    <row r="9" spans="1:9" x14ac:dyDescent="0.15">
      <c r="A9" t="s">
        <v>22</v>
      </c>
    </row>
    <row r="11" spans="1:9" x14ac:dyDescent="0.15">
      <c r="A11" t="s">
        <v>19</v>
      </c>
      <c r="B11" s="1">
        <v>45901</v>
      </c>
      <c r="C11" s="1">
        <v>45931</v>
      </c>
      <c r="D11" s="1">
        <v>45962</v>
      </c>
      <c r="E11" s="1">
        <v>45992</v>
      </c>
      <c r="F11" s="1">
        <v>46023</v>
      </c>
      <c r="G11" s="1">
        <v>46054</v>
      </c>
      <c r="H11" s="1">
        <v>46082</v>
      </c>
      <c r="I11" s="1">
        <v>46113</v>
      </c>
    </row>
    <row r="12" spans="1:9" x14ac:dyDescent="0.15">
      <c r="A12" t="s">
        <v>20</v>
      </c>
    </row>
    <row r="13" spans="1:9" x14ac:dyDescent="0.15">
      <c r="A13" t="s">
        <v>21</v>
      </c>
    </row>
    <row r="14" spans="1:9" x14ac:dyDescent="0.15">
      <c r="A14" t="s">
        <v>22</v>
      </c>
    </row>
    <row r="16" spans="1:9" x14ac:dyDescent="0.15">
      <c r="A16" t="s">
        <v>19</v>
      </c>
      <c r="B16" s="1">
        <v>45901</v>
      </c>
      <c r="C16" s="1">
        <v>45931</v>
      </c>
      <c r="D16" s="1">
        <v>45962</v>
      </c>
      <c r="E16" s="1">
        <v>45992</v>
      </c>
      <c r="F16" s="1">
        <v>46023</v>
      </c>
      <c r="G16" s="1">
        <v>46054</v>
      </c>
      <c r="H16" s="1">
        <v>46082</v>
      </c>
      <c r="I16" s="1">
        <v>46113</v>
      </c>
    </row>
    <row r="17" spans="1:12" x14ac:dyDescent="0.15">
      <c r="A17" t="s">
        <v>20</v>
      </c>
      <c r="B17" s="10">
        <v>93499</v>
      </c>
      <c r="C17" s="10">
        <v>104444.698</v>
      </c>
      <c r="D17" s="10">
        <v>94930</v>
      </c>
      <c r="E17" s="10">
        <v>86032.53</v>
      </c>
      <c r="F17" s="10">
        <v>80076.259999999995</v>
      </c>
      <c r="G17" s="10">
        <v>76389</v>
      </c>
      <c r="H17" s="10">
        <v>82039</v>
      </c>
      <c r="I17" s="10">
        <v>95001</v>
      </c>
      <c r="L17" t="s">
        <v>25</v>
      </c>
    </row>
    <row r="18" spans="1:12" x14ac:dyDescent="0.15">
      <c r="A18" t="s">
        <v>21</v>
      </c>
      <c r="B18" s="11">
        <v>0.61</v>
      </c>
      <c r="C18" s="11">
        <v>0.61</v>
      </c>
      <c r="D18" s="11">
        <v>0.61</v>
      </c>
      <c r="E18" s="11">
        <v>0.61</v>
      </c>
      <c r="F18" s="11">
        <v>0.95</v>
      </c>
      <c r="G18" s="11">
        <v>0.95</v>
      </c>
      <c r="H18" s="11">
        <v>0.95</v>
      </c>
      <c r="I18" s="11">
        <v>0.95</v>
      </c>
    </row>
    <row r="19" spans="1:12" x14ac:dyDescent="0.15">
      <c r="A19" t="s">
        <v>22</v>
      </c>
      <c r="B19" s="12">
        <v>157038.06890000001</v>
      </c>
      <c r="C19" s="13">
        <v>146775.729284</v>
      </c>
      <c r="D19" s="13">
        <v>152740.1685</v>
      </c>
      <c r="E19" s="13">
        <v>117025.778951</v>
      </c>
      <c r="F19" s="13">
        <v>133484.77483800001</v>
      </c>
      <c r="G19" s="13">
        <v>103019.56400300001</v>
      </c>
      <c r="H19" s="13">
        <v>126764.71634</v>
      </c>
      <c r="I19" s="13">
        <v>146168.24746499999</v>
      </c>
    </row>
    <row r="21" spans="1:12" x14ac:dyDescent="0.15">
      <c r="A21" t="s">
        <v>23</v>
      </c>
      <c r="B21" s="1">
        <v>45901</v>
      </c>
      <c r="C21" s="1">
        <v>45931</v>
      </c>
      <c r="D21" s="1">
        <v>45962</v>
      </c>
      <c r="E21" s="1">
        <v>45992</v>
      </c>
      <c r="F21" s="1">
        <v>46023</v>
      </c>
      <c r="G21" s="1">
        <v>46054</v>
      </c>
      <c r="H21" s="1">
        <v>46082</v>
      </c>
      <c r="I21" s="1">
        <v>46113</v>
      </c>
    </row>
    <row r="22" spans="1:12" x14ac:dyDescent="0.15">
      <c r="A22" t="s">
        <v>20</v>
      </c>
      <c r="B22" s="2">
        <v>1.860997</v>
      </c>
      <c r="C22" s="2">
        <v>7.4654889999999998</v>
      </c>
      <c r="D22" s="2">
        <v>-1.7366699999999999</v>
      </c>
      <c r="E22" s="2">
        <v>1.2570809999999999</v>
      </c>
      <c r="F22" s="2">
        <v>3.3777240000000002</v>
      </c>
      <c r="G22" s="2">
        <v>1.1931099999999999</v>
      </c>
      <c r="H22" s="2">
        <v>-1.863337</v>
      </c>
      <c r="I22" s="2">
        <v>11.595877</v>
      </c>
      <c r="L22" t="s">
        <v>26</v>
      </c>
    </row>
    <row r="23" spans="1:12" x14ac:dyDescent="0.15">
      <c r="A23" t="s">
        <v>21</v>
      </c>
    </row>
    <row r="24" spans="1:12" x14ac:dyDescent="0.15">
      <c r="A24" t="s">
        <v>22</v>
      </c>
    </row>
    <row r="26" spans="1:12" x14ac:dyDescent="0.15">
      <c r="A26" t="s">
        <v>3</v>
      </c>
      <c r="B26" s="1">
        <v>45901</v>
      </c>
      <c r="C26" s="1">
        <v>45931</v>
      </c>
      <c r="D26" s="1">
        <v>45962</v>
      </c>
      <c r="E26" s="1">
        <v>45992</v>
      </c>
      <c r="F26" s="1">
        <v>46023</v>
      </c>
      <c r="G26" s="1">
        <v>46054</v>
      </c>
      <c r="H26" s="1">
        <v>46082</v>
      </c>
      <c r="I26" s="1">
        <v>46113</v>
      </c>
      <c r="L26" t="s">
        <v>27</v>
      </c>
    </row>
    <row r="27" spans="1:12" x14ac:dyDescent="0.15">
      <c r="A27" t="s">
        <v>20</v>
      </c>
      <c r="B27" s="14">
        <v>0.21840000000000001</v>
      </c>
      <c r="C27" s="14">
        <v>0.22020000000000001</v>
      </c>
      <c r="D27" s="14">
        <v>0.21929999999999999</v>
      </c>
      <c r="E27" s="14">
        <v>0.21859999999999999</v>
      </c>
      <c r="F27" s="14">
        <v>0.22750000000000001</v>
      </c>
      <c r="G27" s="14">
        <v>0.21740000000000001</v>
      </c>
      <c r="H27" s="14">
        <v>0.2238</v>
      </c>
      <c r="I27" s="14">
        <v>0.22189999999999999</v>
      </c>
    </row>
    <row r="28" spans="1:12" x14ac:dyDescent="0.15">
      <c r="A28" t="s">
        <v>21</v>
      </c>
      <c r="B28" s="15">
        <v>1.37E-2</v>
      </c>
      <c r="C28" s="14">
        <v>1.38E-2</v>
      </c>
      <c r="D28" s="14">
        <v>1.3599999999999999E-2</v>
      </c>
      <c r="E28" s="14">
        <v>1.35E-2</v>
      </c>
      <c r="F28" s="14">
        <v>1.3599999999999999E-2</v>
      </c>
      <c r="G28" s="14">
        <v>1.4200000000000001E-2</v>
      </c>
      <c r="H28" s="14">
        <v>1.41E-2</v>
      </c>
      <c r="I28" s="14">
        <v>1.4E-2</v>
      </c>
    </row>
    <row r="29" spans="1:12" x14ac:dyDescent="0.15">
      <c r="A29" t="s">
        <v>22</v>
      </c>
      <c r="B29" s="11">
        <v>110.58</v>
      </c>
      <c r="C29" s="11">
        <v>107.45</v>
      </c>
      <c r="D29" s="11">
        <v>107.78</v>
      </c>
      <c r="E29" s="11">
        <v>182.01</v>
      </c>
      <c r="F29" s="11">
        <v>129.69</v>
      </c>
      <c r="G29" s="11">
        <v>120.77</v>
      </c>
      <c r="H29" s="11">
        <v>143.88</v>
      </c>
      <c r="I29" s="11">
        <v>114.91</v>
      </c>
    </row>
    <row r="31" spans="1:12" x14ac:dyDescent="0.15">
      <c r="A31" t="s">
        <v>9</v>
      </c>
      <c r="B31" s="1">
        <v>45901</v>
      </c>
      <c r="C31" s="1">
        <v>45931</v>
      </c>
      <c r="D31" s="1">
        <v>45962</v>
      </c>
      <c r="E31" s="1">
        <v>45992</v>
      </c>
      <c r="F31" s="1">
        <v>46023</v>
      </c>
      <c r="G31" s="1">
        <v>46054</v>
      </c>
      <c r="H31" s="1">
        <v>46082</v>
      </c>
      <c r="I31" s="1">
        <v>46113</v>
      </c>
      <c r="L31" t="s">
        <v>28</v>
      </c>
    </row>
    <row r="32" spans="1:12" x14ac:dyDescent="0.15">
      <c r="A32" t="s">
        <v>20</v>
      </c>
      <c r="B32">
        <v>2</v>
      </c>
      <c r="C32">
        <v>1</v>
      </c>
      <c r="D32">
        <v>1</v>
      </c>
      <c r="E32">
        <v>2</v>
      </c>
      <c r="G32">
        <v>1</v>
      </c>
      <c r="H32">
        <v>3</v>
      </c>
      <c r="I32">
        <v>3</v>
      </c>
    </row>
    <row r="33" spans="1:12" x14ac:dyDescent="0.15">
      <c r="A33" t="s">
        <v>21</v>
      </c>
      <c r="B33">
        <v>2</v>
      </c>
      <c r="C33">
        <v>3</v>
      </c>
      <c r="D33">
        <v>4</v>
      </c>
      <c r="E33">
        <v>6</v>
      </c>
      <c r="F33">
        <v>5</v>
      </c>
      <c r="G33">
        <v>3</v>
      </c>
      <c r="H33">
        <v>6</v>
      </c>
      <c r="I33">
        <v>9</v>
      </c>
    </row>
    <row r="34" spans="1:12" x14ac:dyDescent="0.15">
      <c r="A34" t="s">
        <v>22</v>
      </c>
      <c r="F34">
        <v>1</v>
      </c>
      <c r="G34">
        <v>3</v>
      </c>
    </row>
    <row r="36" spans="1:12" x14ac:dyDescent="0.15">
      <c r="A36" t="s">
        <v>10</v>
      </c>
      <c r="B36" s="1">
        <v>45901</v>
      </c>
      <c r="C36" s="1">
        <v>45931</v>
      </c>
      <c r="D36" s="1">
        <v>45962</v>
      </c>
      <c r="E36" s="1">
        <v>45992</v>
      </c>
      <c r="F36" s="1">
        <v>46023</v>
      </c>
      <c r="G36" s="1">
        <v>46054</v>
      </c>
      <c r="H36" s="1">
        <v>46082</v>
      </c>
      <c r="I36" s="1">
        <v>46113</v>
      </c>
      <c r="L36" t="s">
        <v>29</v>
      </c>
    </row>
    <row r="37" spans="1:12" x14ac:dyDescent="0.15">
      <c r="A37" t="s">
        <v>20</v>
      </c>
      <c r="B37">
        <v>58</v>
      </c>
      <c r="C37">
        <v>58.8</v>
      </c>
      <c r="D37">
        <v>58.4</v>
      </c>
      <c r="E37">
        <v>58.1</v>
      </c>
      <c r="F37">
        <v>58.6</v>
      </c>
      <c r="G37">
        <v>59.2</v>
      </c>
      <c r="H37">
        <v>60.1</v>
      </c>
      <c r="I37">
        <v>60.9</v>
      </c>
    </row>
    <row r="38" spans="1:12" x14ac:dyDescent="0.15">
      <c r="A38" t="s">
        <v>21</v>
      </c>
    </row>
    <row r="39" spans="1:12" x14ac:dyDescent="0.15">
      <c r="A39" t="s">
        <v>22</v>
      </c>
    </row>
    <row r="41" spans="1:12" x14ac:dyDescent="0.15">
      <c r="A41" t="s">
        <v>24</v>
      </c>
      <c r="B41" s="1">
        <v>45901</v>
      </c>
      <c r="C41" s="1">
        <v>45931</v>
      </c>
      <c r="D41" s="1">
        <v>45962</v>
      </c>
      <c r="E41" s="1">
        <v>45992</v>
      </c>
      <c r="F41" s="1">
        <v>46023</v>
      </c>
      <c r="G41" s="1">
        <v>46054</v>
      </c>
      <c r="H41" s="1">
        <v>46082</v>
      </c>
      <c r="I41" s="1">
        <v>46113</v>
      </c>
    </row>
    <row r="42" spans="1:12" x14ac:dyDescent="0.15">
      <c r="A42" t="s">
        <v>20</v>
      </c>
      <c r="B42" s="8">
        <v>70</v>
      </c>
      <c r="C42" s="8">
        <v>69.86538069714355</v>
      </c>
      <c r="D42" s="8">
        <v>69.683729186858031</v>
      </c>
      <c r="E42" s="8">
        <v>68.124545270157569</v>
      </c>
      <c r="F42" s="8">
        <v>71.041392534547114</v>
      </c>
      <c r="G42" s="8">
        <v>68.761981497188245</v>
      </c>
      <c r="H42" s="8">
        <v>63.822848850457689</v>
      </c>
      <c r="I42" s="8">
        <v>72.058326998790619</v>
      </c>
      <c r="L42" t="s">
        <v>30</v>
      </c>
    </row>
    <row r="43" spans="1:12" x14ac:dyDescent="0.15">
      <c r="A43" t="s">
        <v>21</v>
      </c>
    </row>
    <row r="44" spans="1:12" x14ac:dyDescent="0.15">
      <c r="A44" t="s">
        <v>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2"/>
  <sheetViews>
    <sheetView workbookViewId="0">
      <selection activeCell="B8" sqref="B8:I10"/>
    </sheetView>
  </sheetViews>
  <sheetFormatPr defaultRowHeight="13.5" x14ac:dyDescent="0.15"/>
  <cols>
    <col min="2" max="2" width="11.375" bestFit="1" customWidth="1"/>
    <col min="3" max="4" width="14" bestFit="1" customWidth="1"/>
    <col min="5" max="9" width="12.75" bestFit="1" customWidth="1"/>
    <col min="10" max="10" width="14" bestFit="1" customWidth="1"/>
  </cols>
  <sheetData>
    <row r="1" spans="2:10" x14ac:dyDescent="0.15">
      <c r="C1" s="2">
        <v>1.860997</v>
      </c>
      <c r="D1" s="2">
        <v>7.4654889999999998</v>
      </c>
      <c r="E1" s="2">
        <v>-1.7366699999999999</v>
      </c>
      <c r="F1" s="2">
        <v>1.2570809999999999</v>
      </c>
      <c r="G1" s="2">
        <v>3.3777240000000002</v>
      </c>
      <c r="H1" s="2">
        <v>1.1931099999999999</v>
      </c>
      <c r="I1" s="2">
        <v>-1.863337</v>
      </c>
      <c r="J1" s="2">
        <v>11.595877</v>
      </c>
    </row>
    <row r="2" spans="2:10" x14ac:dyDescent="0.15">
      <c r="B2">
        <v>1000</v>
      </c>
      <c r="C2" s="4">
        <f>B2+C1</f>
        <v>1001.860997</v>
      </c>
      <c r="D2" s="4">
        <f>C2+D1</f>
        <v>1009.326486</v>
      </c>
      <c r="E2" s="4">
        <f t="shared" ref="E2:J2" si="0">D2+E1</f>
        <v>1007.589816</v>
      </c>
      <c r="F2" s="4">
        <f t="shared" si="0"/>
        <v>1008.846897</v>
      </c>
      <c r="G2" s="4">
        <f t="shared" si="0"/>
        <v>1012.224621</v>
      </c>
      <c r="H2" s="4">
        <f t="shared" si="0"/>
        <v>1013.417731</v>
      </c>
      <c r="I2" s="4">
        <f t="shared" si="0"/>
        <v>1011.554394</v>
      </c>
      <c r="J2" s="4">
        <f t="shared" si="0"/>
        <v>1023.150271</v>
      </c>
    </row>
    <row r="7" spans="2:10" x14ac:dyDescent="0.15">
      <c r="B7" s="1">
        <v>45901</v>
      </c>
      <c r="C7" s="1">
        <v>45931</v>
      </c>
      <c r="D7" s="1">
        <v>45962</v>
      </c>
      <c r="E7" s="1">
        <v>45992</v>
      </c>
      <c r="F7" s="1">
        <v>46023</v>
      </c>
      <c r="G7" s="1">
        <v>46054</v>
      </c>
      <c r="H7" s="1">
        <v>46082</v>
      </c>
      <c r="I7" s="1">
        <v>46113</v>
      </c>
    </row>
    <row r="8" spans="2:10" x14ac:dyDescent="0.15">
      <c r="B8">
        <v>2</v>
      </c>
      <c r="C8">
        <v>1</v>
      </c>
      <c r="D8">
        <v>1</v>
      </c>
      <c r="E8">
        <v>2</v>
      </c>
      <c r="G8">
        <v>1</v>
      </c>
      <c r="H8">
        <v>3</v>
      </c>
      <c r="I8">
        <v>3</v>
      </c>
    </row>
    <row r="9" spans="2:10" x14ac:dyDescent="0.15">
      <c r="B9">
        <v>2</v>
      </c>
      <c r="C9">
        <v>3</v>
      </c>
      <c r="D9">
        <v>4</v>
      </c>
      <c r="E9">
        <v>6</v>
      </c>
      <c r="F9">
        <v>5</v>
      </c>
      <c r="G9">
        <v>3</v>
      </c>
      <c r="H9">
        <v>6</v>
      </c>
      <c r="I9">
        <v>9</v>
      </c>
    </row>
    <row r="10" spans="2:10" x14ac:dyDescent="0.15">
      <c r="F10">
        <v>1</v>
      </c>
      <c r="G10">
        <v>3</v>
      </c>
    </row>
    <row r="12" spans="2:10" x14ac:dyDescent="0.15">
      <c r="B12">
        <v>3</v>
      </c>
      <c r="C12">
        <v>3.5</v>
      </c>
      <c r="D12">
        <v>4.5</v>
      </c>
      <c r="E12">
        <v>7</v>
      </c>
      <c r="F12">
        <v>4.5</v>
      </c>
      <c r="G12">
        <v>2</v>
      </c>
      <c r="H12">
        <v>7.5</v>
      </c>
      <c r="I12">
        <v>10.5</v>
      </c>
    </row>
    <row r="21" spans="8:13" x14ac:dyDescent="0.15">
      <c r="H21" t="s">
        <v>16</v>
      </c>
      <c r="I21" t="s">
        <v>17</v>
      </c>
      <c r="J21" t="s">
        <v>18</v>
      </c>
    </row>
    <row r="22" spans="8:13" x14ac:dyDescent="0.15">
      <c r="H22">
        <v>2024</v>
      </c>
      <c r="I22">
        <v>9</v>
      </c>
      <c r="J22">
        <v>2955507.45</v>
      </c>
    </row>
    <row r="23" spans="8:13" ht="16.5" x14ac:dyDescent="0.15">
      <c r="H23">
        <v>2024</v>
      </c>
      <c r="I23">
        <v>10</v>
      </c>
      <c r="J23">
        <v>4378263.42</v>
      </c>
      <c r="M23" s="9">
        <v>1186.1282302836983</v>
      </c>
    </row>
    <row r="24" spans="8:13" ht="16.5" x14ac:dyDescent="0.15">
      <c r="H24">
        <v>2024</v>
      </c>
      <c r="I24">
        <v>11</v>
      </c>
      <c r="J24">
        <v>6017025.8700000001</v>
      </c>
      <c r="M24" s="9">
        <v>1281.4989346868683</v>
      </c>
    </row>
    <row r="25" spans="8:13" ht="16.5" x14ac:dyDescent="0.15">
      <c r="H25">
        <v>2024</v>
      </c>
      <c r="I25">
        <v>12</v>
      </c>
      <c r="J25">
        <v>6313864.75</v>
      </c>
      <c r="M25" s="9">
        <v>1278.9760726996594</v>
      </c>
    </row>
    <row r="26" spans="8:13" ht="16.5" x14ac:dyDescent="0.15">
      <c r="H26">
        <v>2025</v>
      </c>
      <c r="I26">
        <v>1</v>
      </c>
      <c r="J26">
        <v>3279814.3</v>
      </c>
      <c r="M26" s="9">
        <v>1233.7378174603109</v>
      </c>
    </row>
    <row r="27" spans="8:13" ht="16.5" x14ac:dyDescent="0.15">
      <c r="H27">
        <v>2025</v>
      </c>
      <c r="I27">
        <v>2</v>
      </c>
      <c r="J27">
        <v>4618330</v>
      </c>
      <c r="M27" s="9">
        <v>1215.2401433218211</v>
      </c>
    </row>
    <row r="28" spans="8:13" ht="16.5" x14ac:dyDescent="0.15">
      <c r="H28">
        <v>2025</v>
      </c>
      <c r="I28">
        <v>3</v>
      </c>
      <c r="J28">
        <v>3324404.85</v>
      </c>
      <c r="M28" s="9">
        <v>1317.9317645691829</v>
      </c>
    </row>
    <row r="29" spans="8:13" ht="16.5" x14ac:dyDescent="0.15">
      <c r="H29">
        <v>2025</v>
      </c>
      <c r="I29">
        <v>4</v>
      </c>
      <c r="J29">
        <v>2859929.9</v>
      </c>
      <c r="M29" s="9">
        <v>1244.989683933682</v>
      </c>
    </row>
    <row r="30" spans="8:13" ht="16.5" x14ac:dyDescent="0.15">
      <c r="H30">
        <v>2025</v>
      </c>
      <c r="I30">
        <v>5</v>
      </c>
      <c r="J30">
        <v>9154931.9299999997</v>
      </c>
      <c r="M30" s="9">
        <v>1160.0569454080373</v>
      </c>
    </row>
    <row r="31" spans="8:13" x14ac:dyDescent="0.15">
      <c r="H31">
        <v>2025</v>
      </c>
      <c r="I31">
        <v>6</v>
      </c>
      <c r="J31">
        <v>7235913</v>
      </c>
    </row>
    <row r="32" spans="8:13" x14ac:dyDescent="0.15">
      <c r="H32">
        <v>2025</v>
      </c>
      <c r="I32">
        <v>7</v>
      </c>
      <c r="J32">
        <v>12015270.359999999</v>
      </c>
    </row>
    <row r="33" spans="8:10" x14ac:dyDescent="0.15">
      <c r="H33">
        <v>2025</v>
      </c>
      <c r="I33">
        <v>8</v>
      </c>
      <c r="J33">
        <v>9776244.7699999996</v>
      </c>
    </row>
    <row r="34" spans="8:10" x14ac:dyDescent="0.15">
      <c r="H34">
        <v>2025</v>
      </c>
      <c r="I34">
        <v>9</v>
      </c>
      <c r="J34">
        <v>10430080.15</v>
      </c>
    </row>
    <row r="35" spans="8:10" x14ac:dyDescent="0.15">
      <c r="H35">
        <v>2025</v>
      </c>
      <c r="I35">
        <v>10</v>
      </c>
      <c r="J35">
        <v>6739733.7800000003</v>
      </c>
    </row>
    <row r="36" spans="8:10" x14ac:dyDescent="0.15">
      <c r="H36">
        <v>2025</v>
      </c>
      <c r="I36">
        <v>11</v>
      </c>
      <c r="J36">
        <v>9518122.25</v>
      </c>
    </row>
    <row r="37" spans="8:10" x14ac:dyDescent="0.15">
      <c r="H37">
        <v>2025</v>
      </c>
      <c r="I37">
        <v>12</v>
      </c>
      <c r="J37">
        <v>8658204.7699999996</v>
      </c>
    </row>
    <row r="38" spans="8:10" x14ac:dyDescent="0.15">
      <c r="H38">
        <v>2026</v>
      </c>
      <c r="I38">
        <v>1</v>
      </c>
      <c r="J38">
        <v>4950715.8</v>
      </c>
    </row>
    <row r="39" spans="8:10" x14ac:dyDescent="0.15">
      <c r="H39">
        <v>2026</v>
      </c>
      <c r="I39">
        <v>2</v>
      </c>
      <c r="J39">
        <v>2308063.5</v>
      </c>
    </row>
    <row r="40" spans="8:10" x14ac:dyDescent="0.15">
      <c r="H40">
        <v>2026</v>
      </c>
      <c r="I40">
        <v>3</v>
      </c>
      <c r="J40">
        <v>3083801</v>
      </c>
    </row>
    <row r="41" spans="8:10" x14ac:dyDescent="0.15">
      <c r="H41">
        <v>2026</v>
      </c>
      <c r="I41">
        <v>4</v>
      </c>
      <c r="J41">
        <v>7984788.6299999999</v>
      </c>
    </row>
    <row r="42" spans="8:10" x14ac:dyDescent="0.15">
      <c r="H42">
        <v>2026</v>
      </c>
      <c r="I42">
        <v>5</v>
      </c>
      <c r="J42">
        <v>1724109.52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F29" sqref="F29"/>
    </sheetView>
  </sheetViews>
  <sheetFormatPr defaultRowHeight="13.5" x14ac:dyDescent="0.15"/>
  <cols>
    <col min="1" max="1" width="18.875" customWidth="1"/>
    <col min="2" max="2" width="17.25" customWidth="1"/>
    <col min="3" max="9" width="11.625" bestFit="1" customWidth="1"/>
  </cols>
  <sheetData>
    <row r="1" spans="1:9" x14ac:dyDescent="0.15">
      <c r="A1" t="s">
        <v>0</v>
      </c>
      <c r="B1" s="3" t="s">
        <v>14</v>
      </c>
      <c r="C1" s="1">
        <v>45931</v>
      </c>
      <c r="D1" s="1">
        <v>45962</v>
      </c>
      <c r="E1" s="1">
        <v>45992</v>
      </c>
      <c r="F1" s="1">
        <v>46023</v>
      </c>
      <c r="G1" s="1">
        <v>46054</v>
      </c>
      <c r="H1" s="1">
        <v>46082</v>
      </c>
      <c r="I1" s="1">
        <v>46113</v>
      </c>
    </row>
    <row r="2" spans="1:9" x14ac:dyDescent="0.15">
      <c r="A2" s="5" t="s">
        <v>1</v>
      </c>
      <c r="B2" s="6">
        <v>110</v>
      </c>
      <c r="C2" s="6">
        <v>113.39757814098938</v>
      </c>
      <c r="D2" s="6">
        <v>102.06864826122296</v>
      </c>
      <c r="E2" s="6">
        <v>94.469297449587884</v>
      </c>
      <c r="F2" s="6">
        <v>98.367450764365387</v>
      </c>
      <c r="G2" s="6">
        <v>89.900986558597594</v>
      </c>
      <c r="H2" s="6">
        <v>99.369636559037232</v>
      </c>
      <c r="I2" s="6">
        <v>114.3615498422843</v>
      </c>
    </row>
    <row r="3" spans="1:9" x14ac:dyDescent="0.15">
      <c r="A3" t="s">
        <v>2</v>
      </c>
      <c r="B3" s="2">
        <v>1001.860997</v>
      </c>
      <c r="C3" s="2">
        <v>1009.326486</v>
      </c>
      <c r="D3" s="2">
        <v>1007.589816</v>
      </c>
      <c r="E3" s="2">
        <v>1008.846897</v>
      </c>
      <c r="F3" s="2">
        <v>1012.224621</v>
      </c>
      <c r="G3" s="2">
        <v>1013.417731</v>
      </c>
      <c r="H3" s="2">
        <v>1011.554394</v>
      </c>
      <c r="I3" s="2">
        <v>1023.150271</v>
      </c>
    </row>
    <row r="4" spans="1:9" x14ac:dyDescent="0.15">
      <c r="A4" t="s">
        <v>3</v>
      </c>
      <c r="B4" s="2">
        <v>89.807609859138154</v>
      </c>
      <c r="C4" s="2">
        <v>91.938729323608285</v>
      </c>
      <c r="D4" s="2">
        <v>89.260662112248426</v>
      </c>
      <c r="E4" s="2">
        <v>88.346307179473641</v>
      </c>
      <c r="F4" s="2">
        <v>89.415640425635715</v>
      </c>
      <c r="G4" s="2">
        <v>90.335312910941198</v>
      </c>
      <c r="H4" s="2">
        <v>86.407296403896609</v>
      </c>
      <c r="I4" s="2">
        <v>88.541166031316592</v>
      </c>
    </row>
    <row r="5" spans="1:9" x14ac:dyDescent="0.15">
      <c r="A5" t="s">
        <v>4</v>
      </c>
      <c r="B5">
        <v>34</v>
      </c>
      <c r="C5">
        <v>43</v>
      </c>
      <c r="D5">
        <v>29</v>
      </c>
      <c r="E5">
        <v>15</v>
      </c>
      <c r="F5">
        <v>40</v>
      </c>
      <c r="G5">
        <v>68</v>
      </c>
      <c r="H5">
        <v>21</v>
      </c>
      <c r="I5">
        <v>33</v>
      </c>
    </row>
    <row r="6" spans="1:9" x14ac:dyDescent="0.15">
      <c r="A6" t="s">
        <v>5</v>
      </c>
      <c r="B6" s="2">
        <v>1186.1282302836983</v>
      </c>
      <c r="C6" s="2">
        <v>1281.4989346868683</v>
      </c>
      <c r="D6" s="2">
        <v>1278.9760726996594</v>
      </c>
      <c r="E6" s="2">
        <v>1233.7378174603109</v>
      </c>
      <c r="F6" s="2">
        <v>1215.2401433218211</v>
      </c>
      <c r="G6" s="2">
        <v>1317.9317645691829</v>
      </c>
      <c r="H6" s="2">
        <v>1244.989683933682</v>
      </c>
      <c r="I6" s="2">
        <v>1160.0569454080373</v>
      </c>
    </row>
    <row r="7" spans="1:9" x14ac:dyDescent="0.15">
      <c r="A7" t="s">
        <v>6</v>
      </c>
      <c r="B7" s="2"/>
      <c r="C7" s="2"/>
      <c r="D7" s="2"/>
      <c r="E7" s="2"/>
      <c r="F7" s="2"/>
      <c r="G7" s="2"/>
      <c r="H7" s="2"/>
      <c r="I7" s="2"/>
    </row>
    <row r="8" spans="1:9" x14ac:dyDescent="0.15">
      <c r="A8" t="s">
        <v>7</v>
      </c>
    </row>
    <row r="9" spans="1:9" x14ac:dyDescent="0.15">
      <c r="A9" t="s">
        <v>8</v>
      </c>
    </row>
    <row r="10" spans="1:9" x14ac:dyDescent="0.15">
      <c r="A10" t="s">
        <v>9</v>
      </c>
      <c r="B10">
        <v>3</v>
      </c>
      <c r="C10">
        <v>3.5</v>
      </c>
      <c r="D10">
        <v>4.5</v>
      </c>
      <c r="E10">
        <v>7</v>
      </c>
      <c r="F10">
        <v>4.5</v>
      </c>
      <c r="G10">
        <v>2</v>
      </c>
      <c r="H10">
        <v>7.5</v>
      </c>
      <c r="I10">
        <v>10.5</v>
      </c>
    </row>
    <row r="11" spans="1:9" x14ac:dyDescent="0.15">
      <c r="A11" t="s">
        <v>10</v>
      </c>
      <c r="B11">
        <v>58</v>
      </c>
      <c r="C11">
        <v>58.8</v>
      </c>
      <c r="D11">
        <v>58.4</v>
      </c>
      <c r="E11">
        <v>58.1</v>
      </c>
      <c r="F11">
        <v>58.6</v>
      </c>
      <c r="G11">
        <v>59.2</v>
      </c>
      <c r="H11">
        <v>60.1</v>
      </c>
      <c r="I11">
        <v>60.9</v>
      </c>
    </row>
    <row r="12" spans="1:9" x14ac:dyDescent="0.15">
      <c r="A12" t="s">
        <v>11</v>
      </c>
    </row>
    <row r="13" spans="1:9" x14ac:dyDescent="0.15">
      <c r="A13" s="7" t="s">
        <v>12</v>
      </c>
      <c r="B13" s="8">
        <v>70</v>
      </c>
      <c r="C13" s="8">
        <v>69.86538069714355</v>
      </c>
      <c r="D13" s="8">
        <v>69.683729186858031</v>
      </c>
      <c r="E13" s="8">
        <v>68.124545270157569</v>
      </c>
      <c r="F13" s="8">
        <v>71.041392534547114</v>
      </c>
      <c r="G13" s="8">
        <v>68.761981497188245</v>
      </c>
      <c r="H13" s="8">
        <v>63.822848850457689</v>
      </c>
      <c r="I13" s="8">
        <v>72.058326998790619</v>
      </c>
    </row>
    <row r="14" spans="1:9" x14ac:dyDescent="0.15">
      <c r="A14" t="s">
        <v>13</v>
      </c>
      <c r="B14">
        <v>61.5</v>
      </c>
      <c r="C14">
        <v>69.099999999999994</v>
      </c>
      <c r="D14">
        <v>66</v>
      </c>
      <c r="E14">
        <v>74.5</v>
      </c>
      <c r="F14">
        <v>62</v>
      </c>
      <c r="G14">
        <v>63.3</v>
      </c>
      <c r="H14">
        <v>59.3</v>
      </c>
    </row>
    <row r="16" spans="1:9" x14ac:dyDescent="0.15">
      <c r="A16" t="s">
        <v>15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</vt:lpstr>
      <vt:lpstr>Sheet2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JULONG</dc:creator>
  <cp:lastModifiedBy>JULONG</cp:lastModifiedBy>
  <dcterms:created xsi:type="dcterms:W3CDTF">2026-01-07T07:49:27Z</dcterms:created>
  <dcterms:modified xsi:type="dcterms:W3CDTF">2026-06-03T14:16:58Z</dcterms:modified>
</cp:coreProperties>
</file>